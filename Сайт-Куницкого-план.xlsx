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 проекта" sheetId="1" state="visible" r:id="rId1"/>
    <sheet name="Нужно от заказчика" sheetId="2" state="visible" r:id="rId2"/>
    <sheet name="Чек-лист запус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0">
    <font>
      <name val="Calibri"/>
      <family val="2"/>
      <color theme="1"/>
      <sz val="11"/>
      <scheme val="minor"/>
    </font>
    <font>
      <name val="Arial"/>
      <b val="1"/>
      <color rgb="001F2933"/>
      <sz val="14"/>
    </font>
    <font>
      <name val="Arial"/>
      <b val="1"/>
      <color rgb="001F2933"/>
      <sz val="10"/>
    </font>
    <font>
      <name val="Arial"/>
      <b val="1"/>
      <color rgb="000000FF"/>
      <sz val="10"/>
    </font>
    <font>
      <name val="Arial"/>
      <i val="1"/>
      <color rgb="00667780"/>
      <sz val="9"/>
    </font>
    <font>
      <name val="Arial"/>
      <b val="1"/>
      <color rgb="00FFFFFF"/>
      <sz val="10"/>
    </font>
    <font>
      <name val="Arial"/>
      <color rgb="001F2933"/>
      <sz val="10"/>
    </font>
    <font>
      <name val="Arial"/>
      <color rgb="000000FF"/>
      <sz val="10"/>
    </font>
    <font>
      <name val="Arial"/>
      <b val="1"/>
      <color rgb="001F2933"/>
      <sz val="11"/>
    </font>
    <font>
      <name val="Arial"/>
      <b val="1"/>
      <color rgb="001F2933"/>
      <sz val="13"/>
    </font>
  </fonts>
  <fills count="5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6F8B"/>
      </patternFill>
    </fill>
    <fill>
      <patternFill patternType="solid">
        <fgColor rgb="00DCE8ED"/>
      </patternFill>
    </fill>
  </fills>
  <borders count="2">
    <border>
      <left/>
      <right/>
      <top/>
      <bottom/>
      <diagonal/>
    </border>
    <border>
      <left style="thin">
        <color rgb="00BFCBD1"/>
      </left>
      <right style="thin">
        <color rgb="00BFCBD1"/>
      </right>
      <top style="thin">
        <color rgb="00BFCBD1"/>
      </top>
      <bottom style="thin">
        <color rgb="00BFCBD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7" fillId="2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165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/>
    </xf>
    <xf numFmtId="165" fontId="2" fillId="0" borderId="0" applyAlignment="1" pivotButton="0" quotePrefix="0" xfId="0">
      <alignment horizontal="left"/>
    </xf>
    <xf numFmtId="0" fontId="9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2" customWidth="1" min="3" max="3"/>
    <col width="16" customWidth="1" min="4" max="4"/>
    <col width="12" customWidth="1" min="5" max="5"/>
    <col width="14" customWidth="1" min="6" max="6"/>
    <col width="13" customWidth="1" min="7" max="7"/>
    <col width="13" customWidth="1" min="8" max="8"/>
    <col width="15" customWidth="1" min="9" max="9"/>
    <col width="48" customWidth="1" min="10" max="10"/>
  </cols>
  <sheetData>
    <row r="1">
      <c r="A1" s="1" t="inlineStr">
        <is>
          <t>Сайт Евгения Куницкого — план работ</t>
        </is>
      </c>
    </row>
    <row r="2">
      <c r="A2" s="2" t="inlineStr">
        <is>
          <t>Старт проекта</t>
        </is>
      </c>
      <c r="B2" s="3" t="n">
        <v>46244</v>
      </c>
      <c r="C2" s="4" t="inlineStr">
        <is>
          <t>Жёлтые ячейки — то, что заполняете вы. Даты пересчитаются сами. День 0 — день, когда пришли данные от заказчика.</t>
        </is>
      </c>
    </row>
    <row r="4" ht="32" customHeight="1">
      <c r="A4" s="5" t="inlineStr">
        <is>
          <t>№</t>
        </is>
      </c>
      <c r="B4" s="5" t="inlineStr">
        <is>
          <t>Этап</t>
        </is>
      </c>
      <c r="C4" s="5" t="inlineStr">
        <is>
          <t>Задача</t>
        </is>
      </c>
      <c r="D4" s="5" t="inlineStr">
        <is>
          <t>Ответственный</t>
        </is>
      </c>
      <c r="E4" s="5" t="inlineStr">
        <is>
          <t>День старта</t>
        </is>
      </c>
      <c r="F4" s="5" t="inlineStr">
        <is>
          <t>Длительность, дн.</t>
        </is>
      </c>
      <c r="G4" s="5" t="inlineStr">
        <is>
          <t>Начало</t>
        </is>
      </c>
      <c r="H4" s="5" t="inlineStr">
        <is>
          <t>Окончание</t>
        </is>
      </c>
      <c r="I4" s="5" t="inlineStr">
        <is>
          <t>Статус</t>
        </is>
      </c>
      <c r="J4" s="5" t="inlineStr">
        <is>
          <t>Примечание</t>
        </is>
      </c>
    </row>
    <row r="5">
      <c r="A5" s="6" t="n">
        <v>1</v>
      </c>
      <c r="B5" s="7" t="inlineStr">
        <is>
          <t>1. Уже сделано</t>
        </is>
      </c>
      <c r="C5" s="8" t="inlineStr">
        <is>
          <t>Каркас сайта и 3D-сцена первого экрана</t>
        </is>
      </c>
      <c r="D5" s="7" t="inlineStr">
        <is>
          <t>Разработка</t>
        </is>
      </c>
      <c r="E5" s="9" t="n">
        <v>0</v>
      </c>
      <c r="F5" s="9" t="n">
        <v>1</v>
      </c>
      <c r="G5" s="10">
        <f>$B$2+E5</f>
        <v/>
      </c>
      <c r="H5" s="10">
        <f>G5+F5-1</f>
        <v/>
      </c>
      <c r="I5" s="6" t="inlineStr">
        <is>
          <t>Готово</t>
        </is>
      </c>
      <c r="J5" s="8" t="inlineStr"/>
    </row>
    <row r="6">
      <c r="A6" s="11" t="n">
        <v>2</v>
      </c>
      <c r="B6" s="12" t="inlineStr">
        <is>
          <t>1. Уже сделано</t>
        </is>
      </c>
      <c r="C6" s="13" t="inlineStr">
        <is>
          <t>Все семь разделов со скролл-анимациями</t>
        </is>
      </c>
      <c r="D6" s="12" t="inlineStr">
        <is>
          <t>Разработка</t>
        </is>
      </c>
      <c r="E6" s="9" t="n">
        <v>0</v>
      </c>
      <c r="F6" s="9" t="n">
        <v>1</v>
      </c>
      <c r="G6" s="14">
        <f>$B$2+E6</f>
        <v/>
      </c>
      <c r="H6" s="14">
        <f>G6+F6-1</f>
        <v/>
      </c>
      <c r="I6" s="11" t="inlineStr">
        <is>
          <t>Готово</t>
        </is>
      </c>
      <c r="J6" s="13" t="inlineStr"/>
    </row>
    <row r="7">
      <c r="A7" s="11" t="n">
        <v>3</v>
      </c>
      <c r="B7" s="12" t="inlineStr">
        <is>
          <t>1. Уже сделано</t>
        </is>
      </c>
      <c r="C7" s="13" t="inlineStr">
        <is>
          <t>Четыре языка, включая арабский</t>
        </is>
      </c>
      <c r="D7" s="12" t="inlineStr">
        <is>
          <t>Разработка</t>
        </is>
      </c>
      <c r="E7" s="9" t="n">
        <v>0</v>
      </c>
      <c r="F7" s="9" t="n">
        <v>1</v>
      </c>
      <c r="G7" s="14">
        <f>$B$2+E7</f>
        <v/>
      </c>
      <c r="H7" s="14">
        <f>G7+F7-1</f>
        <v/>
      </c>
      <c r="I7" s="11" t="inlineStr">
        <is>
          <t>Готово</t>
        </is>
      </c>
      <c r="J7" s="13" t="inlineStr"/>
    </row>
    <row r="8">
      <c r="A8" s="11" t="n">
        <v>4</v>
      </c>
      <c r="B8" s="12" t="inlineStr">
        <is>
          <t>1. Уже сделано</t>
        </is>
      </c>
      <c r="C8" s="13" t="inlineStr">
        <is>
          <t>Вёрстка под телефон</t>
        </is>
      </c>
      <c r="D8" s="12" t="inlineStr">
        <is>
          <t>Разработка</t>
        </is>
      </c>
      <c r="E8" s="9" t="n">
        <v>0</v>
      </c>
      <c r="F8" s="9" t="n">
        <v>1</v>
      </c>
      <c r="G8" s="14">
        <f>$B$2+E8</f>
        <v/>
      </c>
      <c r="H8" s="14">
        <f>G8+F8-1</f>
        <v/>
      </c>
      <c r="I8" s="11" t="inlineStr">
        <is>
          <t>Готово</t>
        </is>
      </c>
      <c r="J8" s="13" t="inlineStr"/>
    </row>
    <row r="9">
      <c r="A9" s="11" t="n">
        <v>5</v>
      </c>
      <c r="B9" s="12" t="inlineStr">
        <is>
          <t>1. Уже сделано</t>
        </is>
      </c>
      <c r="C9" s="13" t="inlineStr">
        <is>
          <t>Визуализации семи объектов</t>
        </is>
      </c>
      <c r="D9" s="12" t="inlineStr">
        <is>
          <t>Разработка</t>
        </is>
      </c>
      <c r="E9" s="9" t="n">
        <v>0</v>
      </c>
      <c r="F9" s="9" t="n">
        <v>1</v>
      </c>
      <c r="G9" s="14">
        <f>$B$2+E9</f>
        <v/>
      </c>
      <c r="H9" s="14">
        <f>G9+F9-1</f>
        <v/>
      </c>
      <c r="I9" s="11" t="inlineStr">
        <is>
          <t>Готово</t>
        </is>
      </c>
      <c r="J9" s="13" t="inlineStr"/>
    </row>
    <row r="10">
      <c r="A10" s="11" t="n">
        <v>6</v>
      </c>
      <c r="B10" s="12" t="inlineStr">
        <is>
          <t>1. Уже сделано</t>
        </is>
      </c>
      <c r="C10" s="13" t="inlineStr">
        <is>
          <t>Карта присутствия</t>
        </is>
      </c>
      <c r="D10" s="12" t="inlineStr">
        <is>
          <t>Разработка</t>
        </is>
      </c>
      <c r="E10" s="9" t="n">
        <v>0</v>
      </c>
      <c r="F10" s="9" t="n">
        <v>1</v>
      </c>
      <c r="G10" s="14">
        <f>$B$2+E10</f>
        <v/>
      </c>
      <c r="H10" s="14">
        <f>G10+F10-1</f>
        <v/>
      </c>
      <c r="I10" s="11" t="inlineStr">
        <is>
          <t>Готово</t>
        </is>
      </c>
      <c r="J10" s="13" t="inlineStr"/>
    </row>
    <row r="11">
      <c r="A11" s="11" t="n">
        <v>7</v>
      </c>
      <c r="B11" s="12" t="inlineStr">
        <is>
          <t>1. Уже сделано</t>
        </is>
      </c>
      <c r="C11" s="13" t="inlineStr">
        <is>
          <t>Разделы «Масштаб» и «Признание»</t>
        </is>
      </c>
      <c r="D11" s="12" t="inlineStr">
        <is>
          <t>Разработка</t>
        </is>
      </c>
      <c r="E11" s="9" t="n">
        <v>0</v>
      </c>
      <c r="F11" s="9" t="n">
        <v>1</v>
      </c>
      <c r="G11" s="14">
        <f>$B$2+E11</f>
        <v/>
      </c>
      <c r="H11" s="14">
        <f>G11+F11-1</f>
        <v/>
      </c>
      <c r="I11" s="11" t="inlineStr">
        <is>
          <t>Готово</t>
        </is>
      </c>
      <c r="J11" s="13" t="inlineStr"/>
    </row>
    <row r="12">
      <c r="A12" s="11" t="n">
        <v>8</v>
      </c>
      <c r="B12" s="12" t="inlineStr">
        <is>
          <t>1. Уже сделано</t>
        </is>
      </c>
      <c r="C12" s="13" t="inlineStr">
        <is>
          <t>Превью ссылки для мессенджеров</t>
        </is>
      </c>
      <c r="D12" s="12" t="inlineStr">
        <is>
          <t>Разработка</t>
        </is>
      </c>
      <c r="E12" s="9" t="n">
        <v>0</v>
      </c>
      <c r="F12" s="9" t="n">
        <v>1</v>
      </c>
      <c r="G12" s="14">
        <f>$B$2+E12</f>
        <v/>
      </c>
      <c r="H12" s="14">
        <f>G12+F12-1</f>
        <v/>
      </c>
      <c r="I12" s="11" t="inlineStr">
        <is>
          <t>Готово</t>
        </is>
      </c>
      <c r="J12" s="13" t="inlineStr">
        <is>
          <t>Картинка, заголовок и описание при пересылке</t>
        </is>
      </c>
    </row>
    <row r="13">
      <c r="A13" s="11" t="n">
        <v>9</v>
      </c>
      <c r="B13" s="12" t="inlineStr">
        <is>
          <t>1. Уже сделано</t>
        </is>
      </c>
      <c r="C13" s="13" t="inlineStr">
        <is>
          <t>Разметка для поисковиков</t>
        </is>
      </c>
      <c r="D13" s="12" t="inlineStr">
        <is>
          <t>Разработка</t>
        </is>
      </c>
      <c r="E13" s="9" t="n">
        <v>0</v>
      </c>
      <c r="F13" s="9" t="n">
        <v>1</v>
      </c>
      <c r="G13" s="14">
        <f>$B$2+E13</f>
        <v/>
      </c>
      <c r="H13" s="14">
        <f>G13+F13-1</f>
        <v/>
      </c>
      <c r="I13" s="11" t="inlineStr">
        <is>
          <t>Готово</t>
        </is>
      </c>
      <c r="J13" s="13" t="inlineStr">
        <is>
          <t>Как ссылка выглядит в выдаче</t>
        </is>
      </c>
    </row>
    <row r="14">
      <c r="A14" s="11" t="n">
        <v>10</v>
      </c>
      <c r="B14" s="12" t="inlineStr">
        <is>
          <t>1. Уже сделано</t>
        </is>
      </c>
      <c r="C14" s="13" t="inlineStr">
        <is>
          <t>robots.txt и карта сайта</t>
        </is>
      </c>
      <c r="D14" s="12" t="inlineStr">
        <is>
          <t>Разработка</t>
        </is>
      </c>
      <c r="E14" s="9" t="n">
        <v>0</v>
      </c>
      <c r="F14" s="9" t="n">
        <v>1</v>
      </c>
      <c r="G14" s="14">
        <f>$B$2+E14</f>
        <v/>
      </c>
      <c r="H14" s="14">
        <f>G14+F14-1</f>
        <v/>
      </c>
      <c r="I14" s="11" t="inlineStr">
        <is>
          <t>Готово</t>
        </is>
      </c>
      <c r="J14" s="13" t="inlineStr"/>
    </row>
    <row r="15">
      <c r="A15" s="11" t="n">
        <v>11</v>
      </c>
      <c r="B15" s="12" t="inlineStr">
        <is>
          <t>1. Уже сделано</t>
        </is>
      </c>
      <c r="C15" s="13" t="inlineStr">
        <is>
          <t>Политика конфиденциальности</t>
        </is>
      </c>
      <c r="D15" s="12" t="inlineStr">
        <is>
          <t>Разработка</t>
        </is>
      </c>
      <c r="E15" s="9" t="n">
        <v>0</v>
      </c>
      <c r="F15" s="9" t="n">
        <v>1</v>
      </c>
      <c r="G15" s="14">
        <f>$B$2+E15</f>
        <v/>
      </c>
      <c r="H15" s="14">
        <f>G15+F15-1</f>
        <v/>
      </c>
      <c r="I15" s="11" t="inlineStr">
        <is>
          <t>Готово</t>
        </is>
      </c>
      <c r="J15" s="13" t="inlineStr">
        <is>
          <t>Черновик; нужен просмотр юриста</t>
        </is>
      </c>
    </row>
    <row r="16">
      <c r="A16" s="11" t="n">
        <v>12</v>
      </c>
      <c r="B16" s="12" t="inlineStr">
        <is>
          <t>1. Уже сделано</t>
        </is>
      </c>
      <c r="C16" s="13" t="inlineStr">
        <is>
          <t>Подстройка качества под слабые устройства</t>
        </is>
      </c>
      <c r="D16" s="12" t="inlineStr">
        <is>
          <t>Разработка</t>
        </is>
      </c>
      <c r="E16" s="9" t="n">
        <v>0</v>
      </c>
      <c r="F16" s="9" t="n">
        <v>1</v>
      </c>
      <c r="G16" s="14">
        <f>$B$2+E16</f>
        <v/>
      </c>
      <c r="H16" s="14">
        <f>G16+F16-1</f>
        <v/>
      </c>
      <c r="I16" s="11" t="inlineStr">
        <is>
          <t>Готово</t>
        </is>
      </c>
      <c r="J16" s="13" t="inlineStr"/>
    </row>
    <row r="17">
      <c r="A17" s="6" t="n">
        <v>13</v>
      </c>
      <c r="B17" s="7" t="inlineStr">
        <is>
          <t>2. Ждём от заказчика</t>
        </is>
      </c>
      <c r="C17" s="8" t="inlineStr">
        <is>
          <t>Ссылки на мессенджеры</t>
        </is>
      </c>
      <c r="D17" s="7" t="inlineStr">
        <is>
          <t>Заказчик</t>
        </is>
      </c>
      <c r="E17" s="9" t="n">
        <v>0</v>
      </c>
      <c r="F17" s="9" t="n">
        <v>1</v>
      </c>
      <c r="G17" s="10">
        <f>$B$2+E17</f>
        <v/>
      </c>
      <c r="H17" s="10">
        <f>G17+F17-1</f>
        <v/>
      </c>
      <c r="I17" s="6" t="inlineStr">
        <is>
          <t>Ждёт данных</t>
        </is>
      </c>
      <c r="J17" s="8" t="inlineStr">
        <is>
          <t>Блокирует главное действие сайта</t>
        </is>
      </c>
    </row>
    <row r="18">
      <c r="A18" s="11" t="n">
        <v>14</v>
      </c>
      <c r="B18" s="12" t="inlineStr">
        <is>
          <t>2. Ждём от заказчика</t>
        </is>
      </c>
      <c r="C18" s="13" t="inlineStr">
        <is>
          <t>Портрет</t>
        </is>
      </c>
      <c r="D18" s="12" t="inlineStr">
        <is>
          <t>Заказчик</t>
        </is>
      </c>
      <c r="E18" s="9" t="n">
        <v>0</v>
      </c>
      <c r="F18" s="9" t="n">
        <v>1</v>
      </c>
      <c r="G18" s="14">
        <f>$B$2+E18</f>
        <v/>
      </c>
      <c r="H18" s="14">
        <f>G18+F18-1</f>
        <v/>
      </c>
      <c r="I18" s="11" t="inlineStr">
        <is>
          <t>Ждёт данных</t>
        </is>
      </c>
      <c r="J18" s="13" t="inlineStr">
        <is>
          <t>Файлы загрузить в public/images в репозитории</t>
        </is>
      </c>
    </row>
    <row r="19">
      <c r="A19" s="11" t="n">
        <v>15</v>
      </c>
      <c r="B19" s="12" t="inlineStr">
        <is>
          <t>2. Ждём от заказчика</t>
        </is>
      </c>
      <c r="C19" s="13" t="inlineStr">
        <is>
          <t>Фото с площадок: ВЭФ, ПМЭФ, Сбер</t>
        </is>
      </c>
      <c r="D19" s="12" t="inlineStr">
        <is>
          <t>Заказчик</t>
        </is>
      </c>
      <c r="E19" s="9" t="n">
        <v>0</v>
      </c>
      <c r="F19" s="9" t="n">
        <v>1</v>
      </c>
      <c r="G19" s="14">
        <f>$B$2+E19</f>
        <v/>
      </c>
      <c r="H19" s="14">
        <f>G19+F19-1</f>
        <v/>
      </c>
      <c r="I19" s="11" t="inlineStr">
        <is>
          <t>Ждёт данных</t>
        </is>
      </c>
      <c r="J19" s="13" t="inlineStr">
        <is>
          <t>Снимки видел, файлов нет</t>
        </is>
      </c>
    </row>
    <row r="20">
      <c r="A20" s="11" t="n">
        <v>16</v>
      </c>
      <c r="B20" s="12" t="inlineStr">
        <is>
          <t>2. Ждём от заказчика</t>
        </is>
      </c>
      <c r="C20" s="13" t="inlineStr">
        <is>
          <t>Биография и карьерный путь</t>
        </is>
      </c>
      <c r="D20" s="12" t="inlineStr">
        <is>
          <t>Куницкий Е.А.</t>
        </is>
      </c>
      <c r="E20" s="9" t="n">
        <v>0</v>
      </c>
      <c r="F20" s="9" t="n">
        <v>3</v>
      </c>
      <c r="G20" s="14">
        <f>$B$2+E20</f>
        <v/>
      </c>
      <c r="H20" s="14">
        <f>G20+F20-1</f>
        <v/>
      </c>
      <c r="I20" s="11" t="inlineStr">
        <is>
          <t>Ждёт данных</t>
        </is>
      </c>
      <c r="J20" s="13" t="inlineStr">
        <is>
          <t>В открытых источниках ничего нет</t>
        </is>
      </c>
    </row>
    <row r="21">
      <c r="A21" s="11" t="n">
        <v>17</v>
      </c>
      <c r="B21" s="12" t="inlineStr">
        <is>
          <t>2. Ждём от заказчика</t>
        </is>
      </c>
      <c r="C21" s="13" t="inlineStr">
        <is>
          <t>Статус награды Минстроя</t>
        </is>
      </c>
      <c r="D21" s="12" t="inlineStr">
        <is>
          <t>Заказчик</t>
        </is>
      </c>
      <c r="E21" s="9" t="n">
        <v>0</v>
      </c>
      <c r="F21" s="9" t="n">
        <v>1</v>
      </c>
      <c r="G21" s="14">
        <f>$B$2+E21</f>
        <v/>
      </c>
      <c r="H21" s="14">
        <f>G21+F21-1</f>
        <v/>
      </c>
      <c r="I21" s="11" t="inlineStr">
        <is>
          <t>Ждёт данных</t>
        </is>
      </c>
      <c r="J21" s="13" t="inlineStr">
        <is>
          <t>Представление или вручённая награда</t>
        </is>
      </c>
    </row>
    <row r="22">
      <c r="A22" s="11" t="n">
        <v>18</v>
      </c>
      <c r="B22" s="12" t="inlineStr">
        <is>
          <t>2. Ждём от заказчика</t>
        </is>
      </c>
      <c r="C22" s="13" t="inlineStr">
        <is>
          <t>Даты и названия выступлений</t>
        </is>
      </c>
      <c r="D22" s="12" t="inlineStr">
        <is>
          <t>Заказчик</t>
        </is>
      </c>
      <c r="E22" s="9" t="n">
        <v>0</v>
      </c>
      <c r="F22" s="9" t="n">
        <v>2</v>
      </c>
      <c r="G22" s="14">
        <f>$B$2+E22</f>
        <v/>
      </c>
      <c r="H22" s="14">
        <f>G22+F22-1</f>
        <v/>
      </c>
      <c r="I22" s="11" t="inlineStr">
        <is>
          <t>Ждёт данных</t>
        </is>
      </c>
      <c r="J22" s="13" t="inlineStr"/>
    </row>
    <row r="23">
      <c r="A23" s="11" t="n">
        <v>19</v>
      </c>
      <c r="B23" s="12" t="inlineStr">
        <is>
          <t>2. Ждём от заказчика</t>
        </is>
      </c>
      <c r="C23" s="13" t="inlineStr">
        <is>
          <t>Название объекта в Мурманске</t>
        </is>
      </c>
      <c r="D23" s="12" t="inlineStr">
        <is>
          <t>Заказчик</t>
        </is>
      </c>
      <c r="E23" s="9" t="n">
        <v>0</v>
      </c>
      <c r="F23" s="9" t="n">
        <v>1</v>
      </c>
      <c r="G23" s="14">
        <f>$B$2+E23</f>
        <v/>
      </c>
      <c r="H23" s="14">
        <f>G23+F23-1</f>
        <v/>
      </c>
      <c r="I23" s="11" t="inlineStr">
        <is>
          <t>Ждёт данных</t>
        </is>
      </c>
      <c r="J23" s="13" t="inlineStr">
        <is>
          <t>«Берег Арктики» или «Росляково»</t>
        </is>
      </c>
    </row>
    <row r="24">
      <c r="A24" s="11" t="n">
        <v>20</v>
      </c>
      <c r="B24" s="12" t="inlineStr">
        <is>
          <t>2. Ждём от заказчика</t>
        </is>
      </c>
      <c r="C24" s="13" t="inlineStr">
        <is>
          <t>Домен</t>
        </is>
      </c>
      <c r="D24" s="12" t="inlineStr">
        <is>
          <t>Заказчик</t>
        </is>
      </c>
      <c r="E24" s="9" t="n">
        <v>0</v>
      </c>
      <c r="F24" s="9" t="n">
        <v>2</v>
      </c>
      <c r="G24" s="14">
        <f>$B$2+E24</f>
        <v/>
      </c>
      <c r="H24" s="14">
        <f>G24+F24-1</f>
        <v/>
      </c>
      <c r="I24" s="11" t="inlineStr">
        <is>
          <t>Ждёт данных</t>
        </is>
      </c>
      <c r="J24" s="13" t="inlineStr"/>
    </row>
    <row r="25">
      <c r="A25" s="6" t="n">
        <v>21</v>
      </c>
      <c r="B25" s="7" t="inlineStr">
        <is>
          <t>3. Как придут данные</t>
        </is>
      </c>
      <c r="C25" s="8" t="inlineStr">
        <is>
          <t>Подставить портрет и фото площадок</t>
        </is>
      </c>
      <c r="D25" s="7" t="inlineStr">
        <is>
          <t>Разработка</t>
        </is>
      </c>
      <c r="E25" s="9" t="n">
        <v>3</v>
      </c>
      <c r="F25" s="9" t="n">
        <v>1</v>
      </c>
      <c r="G25" s="10">
        <f>$B$2+E25</f>
        <v/>
      </c>
      <c r="H25" s="10">
        <f>G25+F25-1</f>
        <v/>
      </c>
      <c r="I25" s="6" t="inlineStr">
        <is>
          <t>Не начато</t>
        </is>
      </c>
      <c r="J25" s="8" t="inlineStr">
        <is>
          <t>Тексты и фото лежат отдельно от вёрстки</t>
        </is>
      </c>
    </row>
    <row r="26">
      <c r="A26" s="11" t="n">
        <v>22</v>
      </c>
      <c r="B26" s="12" t="inlineStr">
        <is>
          <t>3. Как придут данные</t>
        </is>
      </c>
      <c r="C26" s="13" t="inlineStr">
        <is>
          <t>Подставить биографию и выступления</t>
        </is>
      </c>
      <c r="D26" s="12" t="inlineStr">
        <is>
          <t>Разработка</t>
        </is>
      </c>
      <c r="E26" s="9" t="n">
        <v>3</v>
      </c>
      <c r="F26" s="9" t="n">
        <v>1</v>
      </c>
      <c r="G26" s="14">
        <f>$B$2+E26</f>
        <v/>
      </c>
      <c r="H26" s="14">
        <f>G26+F26-1</f>
        <v/>
      </c>
      <c r="I26" s="11" t="inlineStr">
        <is>
          <t>Не начато</t>
        </is>
      </c>
      <c r="J26" s="13" t="inlineStr"/>
    </row>
    <row r="27">
      <c r="A27" s="11" t="n">
        <v>23</v>
      </c>
      <c r="B27" s="12" t="inlineStr">
        <is>
          <t>3. Как придут данные</t>
        </is>
      </c>
      <c r="C27" s="13" t="inlineStr">
        <is>
          <t>Включить кнопки мессенджеров</t>
        </is>
      </c>
      <c r="D27" s="12" t="inlineStr">
        <is>
          <t>Разработка</t>
        </is>
      </c>
      <c r="E27" s="9" t="n">
        <v>3</v>
      </c>
      <c r="F27" s="9" t="n">
        <v>1</v>
      </c>
      <c r="G27" s="14">
        <f>$B$2+E27</f>
        <v/>
      </c>
      <c r="H27" s="14">
        <f>G27+F27-1</f>
        <v/>
      </c>
      <c r="I27" s="11" t="inlineStr">
        <is>
          <t>Не начато</t>
        </is>
      </c>
      <c r="J27" s="13" t="inlineStr">
        <is>
          <t>Правка одного файла</t>
        </is>
      </c>
    </row>
    <row r="28">
      <c r="A28" s="11" t="n">
        <v>24</v>
      </c>
      <c r="B28" s="12" t="inlineStr">
        <is>
          <t>3. Как придут данные</t>
        </is>
      </c>
      <c r="C28" s="13" t="inlineStr">
        <is>
          <t>Уточнить формулировки по награде</t>
        </is>
      </c>
      <c r="D28" s="12" t="inlineStr">
        <is>
          <t>Разработка</t>
        </is>
      </c>
      <c r="E28" s="9" t="n">
        <v>3</v>
      </c>
      <c r="F28" s="9" t="n">
        <v>1</v>
      </c>
      <c r="G28" s="14">
        <f>$B$2+E28</f>
        <v/>
      </c>
      <c r="H28" s="14">
        <f>G28+F28-1</f>
        <v/>
      </c>
      <c r="I28" s="11" t="inlineStr">
        <is>
          <t>Не начато</t>
        </is>
      </c>
      <c r="J28" s="13" t="inlineStr"/>
    </row>
    <row r="29">
      <c r="A29" s="11" t="n">
        <v>25</v>
      </c>
      <c r="B29" s="12" t="inlineStr">
        <is>
          <t>3. Как придут данные</t>
        </is>
      </c>
      <c r="C29" s="13" t="inlineStr">
        <is>
          <t>Показ Куницкому Е.А.</t>
        </is>
      </c>
      <c r="D29" s="12" t="inlineStr">
        <is>
          <t>Заказчик</t>
        </is>
      </c>
      <c r="E29" s="9" t="n">
        <v>4</v>
      </c>
      <c r="F29" s="9" t="n">
        <v>2</v>
      </c>
      <c r="G29" s="14">
        <f>$B$2+E29</f>
        <v/>
      </c>
      <c r="H29" s="14">
        <f>G29+F29-1</f>
        <v/>
      </c>
      <c r="I29" s="11" t="inlineStr">
        <is>
          <t>Не начато</t>
        </is>
      </c>
      <c r="J29" s="13" t="inlineStr">
        <is>
          <t>Первый показ на реальном содержании</t>
        </is>
      </c>
    </row>
    <row r="30">
      <c r="A30" s="11" t="n">
        <v>26</v>
      </c>
      <c r="B30" s="12" t="inlineStr">
        <is>
          <t>3. Как придут данные</t>
        </is>
      </c>
      <c r="C30" s="13" t="inlineStr">
        <is>
          <t>Правки по итогам показа</t>
        </is>
      </c>
      <c r="D30" s="12" t="inlineStr">
        <is>
          <t>Разработка</t>
        </is>
      </c>
      <c r="E30" s="9" t="n">
        <v>6</v>
      </c>
      <c r="F30" s="9" t="n">
        <v>3</v>
      </c>
      <c r="G30" s="14">
        <f>$B$2+E30</f>
        <v/>
      </c>
      <c r="H30" s="14">
        <f>G30+F30-1</f>
        <v/>
      </c>
      <c r="I30" s="11" t="inlineStr">
        <is>
          <t>Не начато</t>
        </is>
      </c>
      <c r="J30" s="13" t="inlineStr">
        <is>
          <t>Запас на замечания</t>
        </is>
      </c>
    </row>
    <row r="31">
      <c r="A31" s="6" t="n">
        <v>27</v>
      </c>
      <c r="B31" s="7" t="inlineStr">
        <is>
          <t>4. Запуск</t>
        </is>
      </c>
      <c r="C31" s="8" t="inlineStr">
        <is>
          <t>Настройка домена и сертификата</t>
        </is>
      </c>
      <c r="D31" s="7" t="inlineStr">
        <is>
          <t>Разработка</t>
        </is>
      </c>
      <c r="E31" s="9" t="n">
        <v>9</v>
      </c>
      <c r="F31" s="9" t="n">
        <v>1</v>
      </c>
      <c r="G31" s="10">
        <f>$B$2+E31</f>
        <v/>
      </c>
      <c r="H31" s="10">
        <f>G31+F31-1</f>
        <v/>
      </c>
      <c r="I31" s="6" t="inlineStr">
        <is>
          <t>Не начато</t>
        </is>
      </c>
      <c r="J31" s="8" t="inlineStr"/>
    </row>
    <row r="32">
      <c r="A32" s="11" t="n">
        <v>28</v>
      </c>
      <c r="B32" s="12" t="inlineStr">
        <is>
          <t>4. Запуск</t>
        </is>
      </c>
      <c r="C32" s="13" t="inlineStr">
        <is>
          <t>Счётчик аналитики</t>
        </is>
      </c>
      <c r="D32" s="12" t="inlineStr">
        <is>
          <t>Разработка</t>
        </is>
      </c>
      <c r="E32" s="9" t="n">
        <v>9</v>
      </c>
      <c r="F32" s="9" t="n">
        <v>1</v>
      </c>
      <c r="G32" s="14">
        <f>$B$2+E32</f>
        <v/>
      </c>
      <c r="H32" s="14">
        <f>G32+F32-1</f>
        <v/>
      </c>
      <c r="I32" s="11" t="inlineStr">
        <is>
          <t>Не начато</t>
        </is>
      </c>
      <c r="J32" s="13" t="inlineStr"/>
    </row>
    <row r="33">
      <c r="A33" s="11" t="n">
        <v>29</v>
      </c>
      <c r="B33" s="12" t="inlineStr">
        <is>
          <t>4. Запуск</t>
        </is>
      </c>
      <c r="C33" s="13" t="inlineStr">
        <is>
          <t>Политику посмотрит юрист</t>
        </is>
      </c>
      <c r="D33" s="12" t="inlineStr">
        <is>
          <t>Юрист</t>
        </is>
      </c>
      <c r="E33" s="9" t="n">
        <v>9</v>
      </c>
      <c r="F33" s="9" t="n">
        <v>2</v>
      </c>
      <c r="G33" s="14">
        <f>$B$2+E33</f>
        <v/>
      </c>
      <c r="H33" s="14">
        <f>G33+F33-1</f>
        <v/>
      </c>
      <c r="I33" s="11" t="inlineStr">
        <is>
          <t>Не начато</t>
        </is>
      </c>
      <c r="J33" s="13" t="inlineStr">
        <is>
          <t>Черновик готов</t>
        </is>
      </c>
    </row>
    <row r="34">
      <c r="A34" s="11" t="n">
        <v>30</v>
      </c>
      <c r="B34" s="12" t="inlineStr">
        <is>
          <t>4. Запуск</t>
        </is>
      </c>
      <c r="C34" s="13" t="inlineStr">
        <is>
          <t>Проверка на реальных устройствах</t>
        </is>
      </c>
      <c r="D34" s="12" t="inlineStr">
        <is>
          <t>Разработка</t>
        </is>
      </c>
      <c r="E34" s="9" t="n">
        <v>10</v>
      </c>
      <c r="F34" s="9" t="n">
        <v>1</v>
      </c>
      <c r="G34" s="14">
        <f>$B$2+E34</f>
        <v/>
      </c>
      <c r="H34" s="14">
        <f>G34+F34-1</f>
        <v/>
      </c>
      <c r="I34" s="11" t="inlineStr">
        <is>
          <t>Не начато</t>
        </is>
      </c>
      <c r="J34" s="13" t="inlineStr">
        <is>
          <t>iPhone, Android, медленный интернет</t>
        </is>
      </c>
    </row>
    <row r="35">
      <c r="A35" s="11" t="n">
        <v>31</v>
      </c>
      <c r="B35" s="12" t="inlineStr">
        <is>
          <t>4. Запуск</t>
        </is>
      </c>
      <c r="C35" s="13" t="inlineStr">
        <is>
          <t>Публикация</t>
        </is>
      </c>
      <c r="D35" s="12" t="inlineStr">
        <is>
          <t>Разработка</t>
        </is>
      </c>
      <c r="E35" s="9" t="n">
        <v>11</v>
      </c>
      <c r="F35" s="9" t="n">
        <v>1</v>
      </c>
      <c r="G35" s="14">
        <f>$B$2+E35</f>
        <v/>
      </c>
      <c r="H35" s="14">
        <f>G35+F35-1</f>
        <v/>
      </c>
      <c r="I35" s="11" t="inlineStr">
        <is>
          <t>Не начато</t>
        </is>
      </c>
      <c r="J35" s="13" t="inlineStr"/>
    </row>
    <row r="36">
      <c r="A36" s="6" t="n">
        <v>32</v>
      </c>
      <c r="B36" s="7" t="inlineStr">
        <is>
          <t>5. Потом, не срочно</t>
        </is>
      </c>
      <c r="C36" s="8" t="inlineStr">
        <is>
          <t>Проверка переводов носителями</t>
        </is>
      </c>
      <c r="D36" s="7" t="inlineStr">
        <is>
          <t>Подрядчик</t>
        </is>
      </c>
      <c r="E36" s="9" t="n">
        <v>12</v>
      </c>
      <c r="F36" s="9" t="n">
        <v>5</v>
      </c>
      <c r="G36" s="10">
        <f>$B$2+E36</f>
        <v/>
      </c>
      <c r="H36" s="10">
        <f>G36+F36-1</f>
        <v/>
      </c>
      <c r="I36" s="6" t="inlineStr">
        <is>
          <t>Не начато</t>
        </is>
      </c>
      <c r="J36" s="8" t="inlineStr">
        <is>
          <t>Сайт может работать и до этого</t>
        </is>
      </c>
    </row>
    <row r="37">
      <c r="A37" s="11" t="n">
        <v>33</v>
      </c>
      <c r="B37" s="12" t="inlineStr">
        <is>
          <t>5. Потом, не срочно</t>
        </is>
      </c>
      <c r="C37" s="13" t="inlineStr">
        <is>
          <t>Видео с объекта</t>
        </is>
      </c>
      <c r="D37" s="12" t="inlineStr">
        <is>
          <t>Заказчик</t>
        </is>
      </c>
      <c r="E37" s="9" t="n">
        <v>12</v>
      </c>
      <c r="F37" s="9" t="n">
        <v>10</v>
      </c>
      <c r="G37" s="14">
        <f>$B$2+E37</f>
        <v/>
      </c>
      <c r="H37" s="14">
        <f>G37+F37-1</f>
        <v/>
      </c>
      <c r="I37" s="11" t="inlineStr">
        <is>
          <t>Не начато</t>
        </is>
      </c>
      <c r="J37" s="13" t="inlineStr">
        <is>
          <t>Самое сильное, чего нет у конкурентов</t>
        </is>
      </c>
    </row>
    <row r="38">
      <c r="A38" s="11" t="n">
        <v>34</v>
      </c>
      <c r="B38" s="12" t="inlineStr">
        <is>
          <t>5. Потом, не срочно</t>
        </is>
      </c>
      <c r="C38" s="13" t="inlineStr">
        <is>
          <t>Админка для правок без разработчика</t>
        </is>
      </c>
      <c r="D38" s="12" t="inlineStr">
        <is>
          <t>Разработка</t>
        </is>
      </c>
      <c r="E38" s="9" t="n">
        <v>12</v>
      </c>
      <c r="F38" s="9" t="n">
        <v>10</v>
      </c>
      <c r="G38" s="14">
        <f>$B$2+E38</f>
        <v/>
      </c>
      <c r="H38" s="14">
        <f>G38+F38-1</f>
        <v/>
      </c>
      <c r="I38" s="11" t="inlineStr">
        <is>
          <t>Не начато</t>
        </is>
      </c>
      <c r="J38" s="13" t="inlineStr"/>
    </row>
    <row r="40">
      <c r="B40" s="15" t="inlineStr">
        <is>
          <t>Итого</t>
        </is>
      </c>
    </row>
    <row r="41">
      <c r="B41" s="16" t="inlineStr">
        <is>
          <t>Срок проекта, дней</t>
        </is>
      </c>
      <c r="C41" s="17">
        <f>MAX(H5:H38)-$B$2+1</f>
        <v/>
      </c>
    </row>
    <row r="42">
      <c r="B42" s="16" t="inlineStr">
        <is>
          <t>Дата завершения</t>
        </is>
      </c>
      <c r="C42" s="18">
        <f>MAX(H5:H38)</f>
        <v/>
      </c>
    </row>
    <row r="43">
      <c r="B43" s="16" t="inlineStr">
        <is>
          <t>Задач всего</t>
        </is>
      </c>
      <c r="C43" s="17">
        <f>COUNTA(C5:C38)</f>
        <v/>
      </c>
    </row>
    <row r="44">
      <c r="B44" s="16" t="inlineStr">
        <is>
          <t>Готово</t>
        </is>
      </c>
      <c r="C44" s="17">
        <f>COUNTIF(I5:I38,"Готово")</f>
        <v/>
      </c>
    </row>
    <row r="45">
      <c r="B45" s="16" t="inlineStr">
        <is>
          <t>В работе</t>
        </is>
      </c>
      <c r="C45" s="17">
        <f>COUNTIF(I5:I38,"В работе")</f>
        <v/>
      </c>
    </row>
    <row r="46">
      <c r="B46" s="16" t="inlineStr">
        <is>
          <t>Ждёт данных от заказчика</t>
        </is>
      </c>
      <c r="C46" s="17">
        <f>COUNTIF(I5:I38,"Ждёт данных")</f>
        <v/>
      </c>
    </row>
    <row r="47">
      <c r="B47" s="16" t="inlineStr">
        <is>
          <t>Не начато</t>
        </is>
      </c>
      <c r="C47" s="17">
        <f>COUNTIF(I5:I38,"Не начато")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6" customWidth="1" min="3" max="3"/>
    <col width="13" customWidth="1" min="4" max="4"/>
    <col width="60" customWidth="1" min="5" max="5"/>
    <col width="13" customWidth="1" min="6" max="6"/>
  </cols>
  <sheetData>
    <row r="1">
      <c r="A1" s="19" t="inlineStr">
        <is>
          <t>Что нужно получить, чтобы сайт можно было запускать</t>
        </is>
      </c>
    </row>
    <row r="3" ht="30" customHeight="1">
      <c r="A3" s="5" t="inlineStr">
        <is>
          <t>№</t>
        </is>
      </c>
      <c r="B3" s="5" t="inlineStr">
        <is>
          <t>Что нужно</t>
        </is>
      </c>
      <c r="C3" s="5" t="inlineStr">
        <is>
          <t>От кого</t>
        </is>
      </c>
      <c r="D3" s="5" t="inlineStr">
        <is>
          <t>Важность</t>
        </is>
      </c>
      <c r="E3" s="5" t="inlineStr">
        <is>
          <t>Почему без этого нельзя</t>
        </is>
      </c>
      <c r="F3" s="5" t="inlineStr">
        <is>
          <t>Статус</t>
        </is>
      </c>
    </row>
    <row r="4">
      <c r="A4" s="11" t="n">
        <v>1</v>
      </c>
      <c r="B4" s="13" t="inlineStr">
        <is>
          <t>Ссылки: Telegram, WhatsApp, MAX</t>
        </is>
      </c>
      <c r="C4" s="12" t="inlineStr">
        <is>
          <t>Заказчик</t>
        </is>
      </c>
      <c r="D4" s="11" t="inlineStr">
        <is>
          <t>Критично</t>
        </is>
      </c>
      <c r="E4" s="13" t="inlineStr">
        <is>
          <t>Главное действие сайта — написать в мессенджер. Кнопки сейчас неактивны</t>
        </is>
      </c>
      <c r="F4" s="20" t="inlineStr">
        <is>
          <t>Ждём</t>
        </is>
      </c>
    </row>
    <row r="5">
      <c r="A5" s="11" t="n">
        <v>2</v>
      </c>
      <c r="B5" s="13" t="inlineStr">
        <is>
          <t>Портрет Куницкого Е.А.</t>
        </is>
      </c>
      <c r="C5" s="12" t="inlineStr">
        <is>
          <t>Заказчик</t>
        </is>
      </c>
      <c r="D5" s="11" t="inlineStr">
        <is>
          <t>Критично</t>
        </is>
      </c>
      <c r="E5" s="13" t="inlineStr">
        <is>
          <t>Личный сайт без лица не работает; сейчас на его месте рамка</t>
        </is>
      </c>
      <c r="F5" s="20" t="inlineStr">
        <is>
          <t>Ждём</t>
        </is>
      </c>
    </row>
    <row r="6">
      <c r="A6" s="11" t="n">
        <v>3</v>
      </c>
      <c r="B6" s="13" t="inlineStr">
        <is>
          <t>Биография и карьерный путь</t>
        </is>
      </c>
      <c r="C6" s="12" t="inlineStr">
        <is>
          <t>Куницкий Е.А.</t>
        </is>
      </c>
      <c r="D6" s="11" t="inlineStr">
        <is>
          <t>Критично</t>
        </is>
      </c>
      <c r="E6" s="13" t="inlineStr">
        <is>
          <t>В открытых источниках нет ничего, кроме реестровых данных</t>
        </is>
      </c>
      <c r="F6" s="20" t="inlineStr">
        <is>
          <t>Ждём</t>
        </is>
      </c>
    </row>
    <row r="7">
      <c r="A7" s="11" t="n">
        <v>4</v>
      </c>
      <c r="B7" s="13" t="inlineStr">
        <is>
          <t>Статус награды Минстроя</t>
        </is>
      </c>
      <c r="C7" s="12" t="inlineStr">
        <is>
          <t>Заказчик</t>
        </is>
      </c>
      <c r="D7" s="11" t="inlineStr">
        <is>
          <t>Критично</t>
        </is>
      </c>
      <c r="E7" s="13" t="inlineStr">
        <is>
          <t>Документ — представление к награде. «Награждён» без подтверждения писать нельзя</t>
        </is>
      </c>
      <c r="F7" s="20" t="inlineStr">
        <is>
          <t>Ждём</t>
        </is>
      </c>
    </row>
    <row r="8">
      <c r="A8" s="11" t="n">
        <v>5</v>
      </c>
      <c r="B8" s="13" t="inlineStr">
        <is>
          <t>Название объекта в Мурманске</t>
        </is>
      </c>
      <c r="C8" s="12" t="inlineStr">
        <is>
          <t>Заказчик</t>
        </is>
      </c>
      <c r="D8" s="11" t="inlineStr">
        <is>
          <t>Важно</t>
        </is>
      </c>
      <c r="E8" s="13" t="inlineStr">
        <is>
          <t>«Берег Арктики» и «Квартал в Росляково» — один объект или два</t>
        </is>
      </c>
      <c r="F8" s="20" t="inlineStr">
        <is>
          <t>Ждём</t>
        </is>
      </c>
    </row>
    <row r="9">
      <c r="A9" s="11" t="n">
        <v>6</v>
      </c>
      <c r="B9" s="13" t="inlineStr">
        <is>
          <t>Выступления, публикации, интервью</t>
        </is>
      </c>
      <c r="C9" s="12" t="inlineStr">
        <is>
          <t>Заказчик</t>
        </is>
      </c>
      <c r="D9" s="11" t="inlineStr">
        <is>
          <t>Важно</t>
        </is>
      </c>
      <c r="E9" s="13" t="inlineStr">
        <is>
          <t>Раздел есть, наполнен одной записью</t>
        </is>
      </c>
      <c r="F9" s="20" t="inlineStr">
        <is>
          <t>Ждём</t>
        </is>
      </c>
    </row>
    <row r="10">
      <c r="A10" s="11" t="n">
        <v>7</v>
      </c>
      <c r="B10" s="13" t="inlineStr">
        <is>
          <t>Домен</t>
        </is>
      </c>
      <c r="C10" s="12" t="inlineStr">
        <is>
          <t>Заказчик</t>
        </is>
      </c>
      <c r="D10" s="11" t="inlineStr">
        <is>
          <t>Важно</t>
        </is>
      </c>
      <c r="E10" s="13" t="inlineStr">
        <is>
          <t>Сейчас сайт открывается по техническому адресу</t>
        </is>
      </c>
      <c r="F10" s="20" t="inlineStr">
        <is>
          <t>Ждём</t>
        </is>
      </c>
    </row>
    <row r="11">
      <c r="A11" s="11" t="n">
        <v>8</v>
      </c>
      <c r="B11" s="13" t="inlineStr">
        <is>
          <t>Профиль в «Деловой России» или РСПП</t>
        </is>
      </c>
      <c r="C11" s="12" t="inlineStr">
        <is>
          <t>Заказчик</t>
        </is>
      </c>
      <c r="D11" s="11" t="inlineStr">
        <is>
          <t>Желательно</t>
        </is>
      </c>
      <c r="E11" s="13" t="inlineStr">
        <is>
          <t>В открытых источниках не нашёл; если есть — усилит раздел «Признание»</t>
        </is>
      </c>
      <c r="F11" s="20" t="inlineStr">
        <is>
          <t>Ждём</t>
        </is>
      </c>
    </row>
    <row r="12">
      <c r="A12" s="11" t="n">
        <v>9</v>
      </c>
      <c r="B12" s="13" t="inlineStr">
        <is>
          <t>Видео с объекта, 20–30 секунд</t>
        </is>
      </c>
      <c r="C12" s="12" t="inlineStr">
        <is>
          <t>Заказчик</t>
        </is>
      </c>
      <c r="D12" s="11" t="inlineStr">
        <is>
          <t>Желательно</t>
        </is>
      </c>
      <c r="E12" s="13" t="inlineStr">
        <is>
          <t>Настоящая стройка в Арктике убедительнее любой визуализации</t>
        </is>
      </c>
      <c r="F12" s="20" t="inlineStr">
        <is>
          <t>Ждём</t>
        </is>
      </c>
    </row>
    <row r="13">
      <c r="A13" s="11" t="n">
        <v>10</v>
      </c>
      <c r="B13" s="13" t="inlineStr">
        <is>
          <t>Оригиналы визуализаций объектов</t>
        </is>
      </c>
      <c r="C13" s="12" t="inlineStr">
        <is>
          <t>Заказчик</t>
        </is>
      </c>
      <c r="D13" s="11" t="inlineStr">
        <is>
          <t>Желательно</t>
        </is>
      </c>
      <c r="E13" s="13" t="inlineStr">
        <is>
          <t>Сейчас стоят копии с сайта Таскаева, пережатые под ту вёрстку</t>
        </is>
      </c>
      <c r="F13" s="20" t="inlineStr">
        <is>
          <t>Ждём</t>
        </is>
      </c>
    </row>
    <row r="15">
      <c r="B15" s="2" t="inlineStr">
        <is>
          <t>Из них критичных</t>
        </is>
      </c>
      <c r="C15" s="2">
        <f>COUNTIF(D4:D13,"Критично")</f>
        <v/>
      </c>
    </row>
    <row r="16">
      <c r="B16" s="2" t="inlineStr">
        <is>
          <t>Ещё не получено</t>
        </is>
      </c>
      <c r="C16" s="2">
        <f>COUNTIF(F4:F13,"Ждём")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56" customWidth="1" min="3" max="3"/>
    <col width="11" customWidth="1" min="4" max="4"/>
  </cols>
  <sheetData>
    <row r="1">
      <c r="A1" s="19" t="inlineStr">
        <is>
          <t>Проверить перед публикацией</t>
        </is>
      </c>
    </row>
    <row r="3">
      <c r="A3" s="5" t="inlineStr">
        <is>
          <t>№</t>
        </is>
      </c>
      <c r="B3" s="5" t="inlineStr">
        <is>
          <t>Что проверить</t>
        </is>
      </c>
      <c r="C3" s="5" t="inlineStr">
        <is>
          <t>Как проверить</t>
        </is>
      </c>
      <c r="D3" s="5" t="inlineStr">
        <is>
          <t>Готово</t>
        </is>
      </c>
    </row>
    <row r="4">
      <c r="A4" s="11" t="n">
        <v>1</v>
      </c>
      <c r="B4" s="13" t="inlineStr">
        <is>
          <t>Кнопки мессенджеров ведут в нужные аккаунты</t>
        </is>
      </c>
      <c r="C4" s="13" t="inlineStr">
        <is>
          <t>Нажать каждую с телефона</t>
        </is>
      </c>
      <c r="D4" s="21" t="inlineStr"/>
    </row>
    <row r="5">
      <c r="A5" s="11" t="n">
        <v>2</v>
      </c>
      <c r="B5" s="13" t="inlineStr">
        <is>
          <t>Все четыре языка переключаются и переведены</t>
        </is>
      </c>
      <c r="C5" s="13" t="inlineStr">
        <is>
          <t>Пройти сайт на каждом языке до конца</t>
        </is>
      </c>
      <c r="D5" s="21" t="inlineStr"/>
    </row>
    <row r="6">
      <c r="A6" s="11" t="n">
        <v>3</v>
      </c>
      <c r="B6" s="13" t="inlineStr">
        <is>
          <t>Арабская версия зеркалится правильно</t>
        </is>
      </c>
      <c r="C6" s="13" t="inlineStr">
        <is>
          <t>Проверить, что текст и блоки идут справа налево</t>
        </is>
      </c>
      <c r="D6" s="21" t="inlineStr"/>
    </row>
    <row r="7">
      <c r="A7" s="11" t="n">
        <v>4</v>
      </c>
      <c r="B7" s="13" t="inlineStr">
        <is>
          <t>Проверено на iPhone и на Android</t>
        </is>
      </c>
      <c r="C7" s="13" t="inlineStr">
        <is>
          <t>Открыть на живых устройствах, не в эмуляторе</t>
        </is>
      </c>
      <c r="D7" s="21" t="inlineStr"/>
    </row>
    <row r="8">
      <c r="A8" s="11" t="n">
        <v>5</v>
      </c>
      <c r="B8" s="13" t="inlineStr">
        <is>
          <t>Первый экран не тормозит на телефоне</t>
        </is>
      </c>
      <c r="C8" s="13" t="inlineStr">
        <is>
          <t>Смотреть на среднем телефоне, не на флагмане</t>
        </is>
      </c>
      <c r="D8" s="21" t="inlineStr"/>
    </row>
    <row r="9">
      <c r="A9" s="11" t="n">
        <v>6</v>
      </c>
      <c r="B9" s="13" t="inlineStr">
        <is>
          <t>Сайт открывается за 2–3 секунды</t>
        </is>
      </c>
      <c r="C9" s="13" t="inlineStr">
        <is>
          <t>Проверить на мобильном интернете, не по Wi-Fi</t>
        </is>
      </c>
      <c r="D9" s="21" t="inlineStr"/>
    </row>
    <row r="10">
      <c r="A10" s="11" t="n">
        <v>7</v>
      </c>
      <c r="B10" s="13" t="inlineStr">
        <is>
          <t>Превью ссылки в мессенджерах выглядит прилично</t>
        </is>
      </c>
      <c r="C10" s="13" t="inlineStr">
        <is>
          <t>Отправить ссылку самому себе в Telegram и WhatsApp</t>
        </is>
      </c>
      <c r="D10" s="21" t="inlineStr"/>
    </row>
    <row r="11">
      <c r="A11" s="11" t="n">
        <v>8</v>
      </c>
      <c r="B11" s="13" t="inlineStr">
        <is>
          <t>Нет технических адресов и заглушек в текстах</t>
        </is>
      </c>
      <c r="C11" s="13" t="inlineStr">
        <is>
          <t>Поиск по странице: TODO, test, localhost</t>
        </is>
      </c>
      <c r="D11" s="21" t="inlineStr"/>
    </row>
    <row r="12">
      <c r="A12" s="11" t="n">
        <v>9</v>
      </c>
      <c r="B12" s="13" t="inlineStr">
        <is>
          <t>Цифры и формулировки согласованы с Куницким Е.А.</t>
        </is>
      </c>
      <c r="C12" s="13" t="inlineStr">
        <is>
          <t>Отдельное подтверждение по разделам «Масштаб» и «Признание»</t>
        </is>
      </c>
      <c r="D12" s="21" t="inlineStr"/>
    </row>
    <row r="13">
      <c r="A13" s="11" t="n">
        <v>10</v>
      </c>
      <c r="B13" s="13" t="inlineStr">
        <is>
          <t>Счётчик аналитики установлен и считает</t>
        </is>
      </c>
      <c r="C13" s="13" t="inlineStr">
        <is>
          <t>Зайти на сайт и увидеть визит в отчёте</t>
        </is>
      </c>
      <c r="D13" s="21" t="inlineStr"/>
    </row>
    <row r="14">
      <c r="A14" s="11" t="n">
        <v>11</v>
      </c>
      <c r="B14" s="13" t="inlineStr">
        <is>
          <t>Политика конфиденциальности на месте</t>
        </is>
      </c>
      <c r="C14" s="13" t="inlineStr">
        <is>
          <t>Ссылка в подвале открывается</t>
        </is>
      </c>
      <c r="D14" s="21" t="inlineStr"/>
    </row>
    <row r="15">
      <c r="A15" s="11" t="n">
        <v>12</v>
      </c>
      <c r="B15" s="13" t="inlineStr">
        <is>
          <t>Домен работает с https и без www тоже</t>
        </is>
      </c>
      <c r="C15" s="13" t="inlineStr">
        <is>
          <t>Открыть оба варианта адреса</t>
        </is>
      </c>
      <c r="D15" s="21" t="inlineStr"/>
    </row>
    <row r="17">
      <c r="B17" s="2" t="inlineStr">
        <is>
          <t>Отмечено готовых</t>
        </is>
      </c>
      <c r="C17" s="2">
        <f>COUNTIF(D4:D15,"да")&amp;" из "&amp;COUNTA(B4:B15)</f>
        <v/>
      </c>
    </row>
    <row r="18">
      <c r="B18" s="4" t="inlineStr">
        <is>
          <t>В столбце «Готово» пишите «да»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2026-08-09T11:38:03Z</dcterms:created>
  <dcterms:modified xsi:type="dcterms:W3CDTF">2026-08-09T11:38:04Z</dcterms:modified>
</cp:coreProperties>
</file>